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f06cd3d19e87d8/Desktop/Office/Sailers and Staff food Consumption Record-2026/"/>
    </mc:Choice>
  </mc:AlternateContent>
  <xr:revisionPtr revIDLastSave="22" documentId="8_{A20E279D-3CD4-4468-B88B-E0E36440D80D}" xr6:coauthVersionLast="47" xr6:coauthVersionMax="47" xr10:uidLastSave="{2F8D017C-9F5F-4148-B0C0-A5AE3669BE40}"/>
  <bookViews>
    <workbookView xWindow="0" yWindow="24" windowWidth="23040" windowHeight="12216" xr2:uid="{D2E5CDF7-3231-4825-A048-D876116663BD}"/>
  </bookViews>
  <sheets>
    <sheet name="July 2026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4" i="1"/>
  <c r="A3" i="1"/>
  <c r="A25" i="2"/>
  <c r="A26" i="2"/>
  <c r="A27" i="2"/>
  <c r="A28" i="2"/>
  <c r="A29" i="2" s="1"/>
  <c r="A30" i="2" s="1"/>
  <c r="A31" i="2" s="1"/>
  <c r="A32" i="2" s="1"/>
  <c r="A5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4" i="2"/>
  <c r="A3" i="2"/>
</calcChain>
</file>

<file path=xl/sharedStrings.xml><?xml version="1.0" encoding="utf-8"?>
<sst xmlns="http://schemas.openxmlformats.org/spreadsheetml/2006/main" count="47" uniqueCount="17">
  <si>
    <t>DATE</t>
  </si>
  <si>
    <t>MJPTBCWRES</t>
  </si>
  <si>
    <t>NO. OF SAILORS</t>
  </si>
  <si>
    <t>NO. OF STAFF MEMBERS</t>
  </si>
  <si>
    <t>DAILY MEAL 
COUNT</t>
  </si>
  <si>
    <t>FRUITS</t>
  </si>
  <si>
    <t>GROCERY</t>
  </si>
  <si>
    <t>VEGETABLES</t>
  </si>
  <si>
    <t>CHICKEN/
MUTTON</t>
  </si>
  <si>
    <t>PANEER</t>
  </si>
  <si>
    <t>B/F</t>
  </si>
  <si>
    <t>LUNCH</t>
  </si>
  <si>
    <t>DINNER</t>
  </si>
  <si>
    <t>TOTAL</t>
  </si>
  <si>
    <t>TOTAL EXPENSES</t>
  </si>
  <si>
    <t>TOTAL MEALS COUNT</t>
  </si>
  <si>
    <t>AVG. COST PER 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</si>
</sst>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4" fontId="2" fillId="3" borderId="5" xfId="0" applyNumberFormat="1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3" borderId="8" xfId="0" applyFont="1" applyFill="1" applyBorder="1" applyAlignment="1">
      <alignment wrapText="1"/>
    </xf>
    <xf numFmtId="4" fontId="3" fillId="3" borderId="5" xfId="0" applyNumberFormat="1" applyFont="1" applyFill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4" fontId="3" fillId="0" borderId="11" xfId="0" applyNumberFormat="1" applyFont="1" applyBorder="1" applyAlignment="1">
      <alignment horizontal="center" wrapText="1"/>
    </xf>
    <xf numFmtId="4" fontId="3" fillId="0" borderId="3" xfId="0" applyNumberFormat="1" applyFont="1" applyBorder="1" applyAlignment="1">
      <alignment horizontal="center" wrapText="1"/>
    </xf>
    <xf numFmtId="4" fontId="3" fillId="0" borderId="4" xfId="0" applyNumberFormat="1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4" fontId="2" fillId="3" borderId="12" xfId="0" applyNumberFormat="1" applyFont="1" applyFill="1" applyBorder="1" applyAlignment="1">
      <alignment horizontal="center" wrapText="1"/>
    </xf>
    <xf numFmtId="0" fontId="0" fillId="0" borderId="12" xfId="0" applyBorder="1"/>
    <xf numFmtId="0" fontId="1" fillId="2" borderId="1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right" vertical="center" wrapText="1"/>
    </xf>
    <xf numFmtId="14" fontId="2" fillId="0" borderId="1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BEF02-8B7E-404E-B44E-E77A95772235}">
  <dimension ref="A1:S37"/>
  <sheetViews>
    <sheetView tabSelected="1" topLeftCell="A9" workbookViewId="0">
      <selection activeCell="A4" sqref="A4:A32"/>
    </sheetView>
  </sheetViews>
  <sheetFormatPr defaultRowHeight="14.4" x14ac:dyDescent="0.3"/>
  <cols>
    <col min="1" max="1" width="16.77734375" customWidth="1"/>
    <col min="14" max="14" width="9.88671875" customWidth="1"/>
    <col min="15" max="15" width="10.21875" customWidth="1"/>
    <col min="16" max="16" width="12.109375" customWidth="1"/>
    <col min="17" max="17" width="11.88671875" customWidth="1"/>
    <col min="18" max="18" width="10.6640625" customWidth="1"/>
  </cols>
  <sheetData>
    <row r="1" spans="1:19" ht="28.2" customHeight="1" thickBot="1" x14ac:dyDescent="0.35">
      <c r="A1" s="15" t="s">
        <v>0</v>
      </c>
      <c r="B1" s="17" t="s">
        <v>1</v>
      </c>
      <c r="C1" s="18"/>
      <c r="D1" s="18"/>
      <c r="E1" s="19"/>
      <c r="F1" s="17" t="s">
        <v>2</v>
      </c>
      <c r="G1" s="18"/>
      <c r="H1" s="18"/>
      <c r="I1" s="19"/>
      <c r="J1" s="17" t="s">
        <v>3</v>
      </c>
      <c r="K1" s="18"/>
      <c r="L1" s="18"/>
      <c r="M1" s="19"/>
      <c r="N1" s="15" t="s">
        <v>4</v>
      </c>
      <c r="O1" s="23" t="s">
        <v>5</v>
      </c>
      <c r="P1" s="15" t="s">
        <v>6</v>
      </c>
      <c r="Q1" s="15" t="s">
        <v>7</v>
      </c>
      <c r="R1" s="15" t="s">
        <v>8</v>
      </c>
      <c r="S1" s="15" t="s">
        <v>9</v>
      </c>
    </row>
    <row r="2" spans="1:19" ht="15" thickBot="1" x14ac:dyDescent="0.35">
      <c r="A2" s="16"/>
      <c r="B2" s="1" t="s">
        <v>10</v>
      </c>
      <c r="C2" s="2" t="s">
        <v>11</v>
      </c>
      <c r="D2" s="2" t="s">
        <v>12</v>
      </c>
      <c r="E2" s="1" t="s">
        <v>13</v>
      </c>
      <c r="F2" s="1" t="s">
        <v>10</v>
      </c>
      <c r="G2" s="2" t="s">
        <v>11</v>
      </c>
      <c r="H2" s="2" t="s">
        <v>12</v>
      </c>
      <c r="I2" s="1" t="s">
        <v>13</v>
      </c>
      <c r="J2" s="1" t="s">
        <v>10</v>
      </c>
      <c r="K2" s="2" t="s">
        <v>11</v>
      </c>
      <c r="L2" s="2" t="s">
        <v>12</v>
      </c>
      <c r="M2" s="1" t="s">
        <v>13</v>
      </c>
      <c r="N2" s="16"/>
      <c r="O2" s="24"/>
      <c r="P2" s="16"/>
      <c r="Q2" s="16"/>
      <c r="R2" s="16"/>
      <c r="S2" s="16"/>
    </row>
    <row r="3" spans="1:19" ht="15" thickBot="1" x14ac:dyDescent="0.35">
      <c r="A3" s="3">
        <f>DATE(2026,7,1)</f>
        <v>46204</v>
      </c>
      <c r="B3" s="4">
        <v>15</v>
      </c>
      <c r="C3" s="4">
        <v>9</v>
      </c>
      <c r="D3" s="4">
        <v>9</v>
      </c>
      <c r="E3" s="5">
        <v>33</v>
      </c>
      <c r="F3" s="4">
        <v>26</v>
      </c>
      <c r="G3" s="4">
        <v>15</v>
      </c>
      <c r="H3" s="4">
        <v>8</v>
      </c>
      <c r="I3" s="5">
        <v>49</v>
      </c>
      <c r="J3" s="4">
        <v>24</v>
      </c>
      <c r="K3" s="4">
        <v>2</v>
      </c>
      <c r="L3" s="4">
        <v>2</v>
      </c>
      <c r="M3" s="5">
        <v>28</v>
      </c>
      <c r="N3" s="5">
        <v>110</v>
      </c>
      <c r="O3" s="6">
        <v>1600</v>
      </c>
      <c r="P3" s="4">
        <v>0</v>
      </c>
      <c r="Q3" s="4">
        <v>0</v>
      </c>
      <c r="R3" s="6">
        <v>3820</v>
      </c>
      <c r="S3" s="4">
        <v>0</v>
      </c>
    </row>
    <row r="4" spans="1:19" ht="15" thickBot="1" x14ac:dyDescent="0.35">
      <c r="A4" s="3">
        <f>(A3+1)</f>
        <v>46205</v>
      </c>
      <c r="B4" s="4">
        <v>9</v>
      </c>
      <c r="C4" s="4">
        <v>7</v>
      </c>
      <c r="D4" s="4">
        <v>7</v>
      </c>
      <c r="E4" s="5">
        <v>23</v>
      </c>
      <c r="F4" s="4">
        <v>31</v>
      </c>
      <c r="G4" s="4">
        <v>24</v>
      </c>
      <c r="H4" s="4">
        <v>17</v>
      </c>
      <c r="I4" s="5">
        <v>72</v>
      </c>
      <c r="J4" s="4">
        <v>11</v>
      </c>
      <c r="K4" s="4">
        <v>1</v>
      </c>
      <c r="L4" s="4">
        <v>0</v>
      </c>
      <c r="M4" s="5">
        <v>12</v>
      </c>
      <c r="N4" s="5">
        <v>107</v>
      </c>
      <c r="O4" s="6">
        <v>1600</v>
      </c>
      <c r="P4" s="6">
        <v>12350</v>
      </c>
      <c r="Q4" s="4">
        <v>362</v>
      </c>
      <c r="R4" s="4">
        <v>0</v>
      </c>
      <c r="S4" s="4">
        <v>0</v>
      </c>
    </row>
    <row r="5" spans="1:19" ht="15" thickBot="1" x14ac:dyDescent="0.35">
      <c r="A5" s="3">
        <f t="shared" ref="A5:A32" si="0">(A4+1)</f>
        <v>46206</v>
      </c>
      <c r="B5" s="4">
        <v>11</v>
      </c>
      <c r="C5" s="4">
        <v>5</v>
      </c>
      <c r="D5" s="4">
        <v>5</v>
      </c>
      <c r="E5" s="5">
        <v>21</v>
      </c>
      <c r="F5" s="4">
        <v>26</v>
      </c>
      <c r="G5" s="4">
        <v>26</v>
      </c>
      <c r="H5" s="4">
        <v>14</v>
      </c>
      <c r="I5" s="5">
        <v>66</v>
      </c>
      <c r="J5" s="4">
        <v>12</v>
      </c>
      <c r="K5" s="4">
        <v>0</v>
      </c>
      <c r="L5" s="4">
        <v>0</v>
      </c>
      <c r="M5" s="5">
        <v>12</v>
      </c>
      <c r="N5" s="5">
        <v>99</v>
      </c>
      <c r="O5" s="6">
        <v>1600</v>
      </c>
      <c r="P5" s="4">
        <v>0</v>
      </c>
      <c r="Q5" s="6">
        <v>5157</v>
      </c>
      <c r="R5" s="4">
        <v>0</v>
      </c>
      <c r="S5" s="4">
        <v>0</v>
      </c>
    </row>
    <row r="6" spans="1:19" ht="15" thickBot="1" x14ac:dyDescent="0.35">
      <c r="A6" s="3">
        <f t="shared" si="0"/>
        <v>46207</v>
      </c>
      <c r="B6" s="4">
        <v>13</v>
      </c>
      <c r="C6" s="4">
        <v>13</v>
      </c>
      <c r="D6" s="4">
        <v>9</v>
      </c>
      <c r="E6" s="5">
        <v>35</v>
      </c>
      <c r="F6" s="4">
        <v>27</v>
      </c>
      <c r="G6" s="4">
        <v>24</v>
      </c>
      <c r="H6" s="4">
        <v>11</v>
      </c>
      <c r="I6" s="5">
        <v>62</v>
      </c>
      <c r="J6" s="4">
        <v>16</v>
      </c>
      <c r="K6" s="4">
        <v>2</v>
      </c>
      <c r="L6" s="4">
        <v>2</v>
      </c>
      <c r="M6" s="5">
        <v>20</v>
      </c>
      <c r="N6" s="5">
        <v>117</v>
      </c>
      <c r="O6" s="4">
        <v>800</v>
      </c>
      <c r="P6" s="6">
        <v>62079</v>
      </c>
      <c r="Q6" s="4">
        <v>0</v>
      </c>
      <c r="R6" s="4">
        <v>0</v>
      </c>
      <c r="S6" s="4">
        <v>0</v>
      </c>
    </row>
    <row r="7" spans="1:19" ht="15" thickBot="1" x14ac:dyDescent="0.35">
      <c r="A7" s="3">
        <f t="shared" si="0"/>
        <v>46208</v>
      </c>
      <c r="B7" s="4">
        <v>10</v>
      </c>
      <c r="C7" s="4">
        <v>4</v>
      </c>
      <c r="D7" s="4">
        <v>4</v>
      </c>
      <c r="E7" s="5">
        <v>18</v>
      </c>
      <c r="F7" s="4">
        <v>5</v>
      </c>
      <c r="G7" s="4">
        <v>5</v>
      </c>
      <c r="H7" s="4">
        <v>5</v>
      </c>
      <c r="I7" s="5">
        <v>15</v>
      </c>
      <c r="J7" s="4">
        <v>10</v>
      </c>
      <c r="K7" s="4">
        <v>10</v>
      </c>
      <c r="L7" s="4">
        <v>10</v>
      </c>
      <c r="M7" s="5">
        <v>30</v>
      </c>
      <c r="N7" s="5">
        <v>63</v>
      </c>
      <c r="O7" s="6">
        <v>1600</v>
      </c>
      <c r="P7" s="4">
        <v>0</v>
      </c>
      <c r="Q7" s="4">
        <v>0</v>
      </c>
      <c r="R7" s="6">
        <v>1764</v>
      </c>
      <c r="S7" s="4">
        <v>0</v>
      </c>
    </row>
    <row r="8" spans="1:19" ht="15" thickBot="1" x14ac:dyDescent="0.35">
      <c r="A8" s="3">
        <f t="shared" si="0"/>
        <v>46209</v>
      </c>
      <c r="B8" s="4">
        <v>9</v>
      </c>
      <c r="C8" s="4">
        <v>9</v>
      </c>
      <c r="D8" s="4">
        <v>7</v>
      </c>
      <c r="E8" s="5">
        <v>25</v>
      </c>
      <c r="F8" s="4">
        <v>21</v>
      </c>
      <c r="G8" s="4">
        <v>21</v>
      </c>
      <c r="H8" s="4">
        <v>4</v>
      </c>
      <c r="I8" s="5">
        <v>46</v>
      </c>
      <c r="J8" s="4">
        <v>30</v>
      </c>
      <c r="K8" s="4">
        <v>30</v>
      </c>
      <c r="L8" s="4">
        <v>15</v>
      </c>
      <c r="M8" s="5">
        <v>75</v>
      </c>
      <c r="N8" s="5">
        <v>146</v>
      </c>
      <c r="O8" s="6">
        <v>1108</v>
      </c>
      <c r="P8" s="4">
        <v>595</v>
      </c>
      <c r="Q8" s="4">
        <v>0</v>
      </c>
      <c r="R8" s="4">
        <v>0</v>
      </c>
      <c r="S8" s="4">
        <v>0</v>
      </c>
    </row>
    <row r="9" spans="1:19" ht="15" thickBot="1" x14ac:dyDescent="0.35">
      <c r="A9" s="3">
        <f t="shared" si="0"/>
        <v>46210</v>
      </c>
      <c r="B9" s="4">
        <v>3</v>
      </c>
      <c r="C9" s="4">
        <v>3</v>
      </c>
      <c r="D9" s="4">
        <v>3</v>
      </c>
      <c r="E9" s="5">
        <v>9</v>
      </c>
      <c r="F9" s="4">
        <v>12</v>
      </c>
      <c r="G9" s="4">
        <v>12</v>
      </c>
      <c r="H9" s="4">
        <v>10</v>
      </c>
      <c r="I9" s="5">
        <v>34</v>
      </c>
      <c r="J9" s="4">
        <v>11</v>
      </c>
      <c r="K9" s="4">
        <v>2</v>
      </c>
      <c r="L9" s="4">
        <v>1</v>
      </c>
      <c r="M9" s="5">
        <v>14</v>
      </c>
      <c r="N9" s="5">
        <v>57</v>
      </c>
      <c r="O9" s="4">
        <v>800</v>
      </c>
      <c r="P9" s="4">
        <v>199</v>
      </c>
      <c r="Q9" s="4">
        <v>0</v>
      </c>
      <c r="R9" s="4">
        <v>0</v>
      </c>
      <c r="S9" s="4">
        <v>0</v>
      </c>
    </row>
    <row r="10" spans="1:19" ht="15" thickBot="1" x14ac:dyDescent="0.35">
      <c r="A10" s="3">
        <f t="shared" si="0"/>
        <v>46211</v>
      </c>
      <c r="B10" s="4">
        <v>9</v>
      </c>
      <c r="C10" s="4">
        <v>9</v>
      </c>
      <c r="D10" s="4">
        <v>8</v>
      </c>
      <c r="E10" s="5">
        <v>26</v>
      </c>
      <c r="F10" s="4">
        <v>0</v>
      </c>
      <c r="G10" s="4">
        <v>0</v>
      </c>
      <c r="H10" s="4">
        <v>0</v>
      </c>
      <c r="I10" s="5">
        <v>0</v>
      </c>
      <c r="J10" s="4">
        <v>0</v>
      </c>
      <c r="K10" s="4">
        <v>0</v>
      </c>
      <c r="L10" s="4">
        <v>0</v>
      </c>
      <c r="M10" s="5">
        <v>0</v>
      </c>
      <c r="N10" s="5">
        <v>26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</row>
    <row r="11" spans="1:19" ht="15" thickBot="1" x14ac:dyDescent="0.35">
      <c r="A11" s="3">
        <f t="shared" si="0"/>
        <v>46212</v>
      </c>
      <c r="B11" s="4">
        <v>0</v>
      </c>
      <c r="C11" s="4">
        <v>0</v>
      </c>
      <c r="D11" s="4">
        <v>0</v>
      </c>
      <c r="E11" s="5">
        <v>0</v>
      </c>
      <c r="F11" s="4">
        <v>7</v>
      </c>
      <c r="G11" s="4">
        <v>6</v>
      </c>
      <c r="H11" s="4">
        <v>6</v>
      </c>
      <c r="I11" s="5">
        <v>19</v>
      </c>
      <c r="J11" s="4">
        <v>0</v>
      </c>
      <c r="K11" s="4">
        <v>0</v>
      </c>
      <c r="L11" s="4">
        <v>0</v>
      </c>
      <c r="M11" s="5">
        <v>0</v>
      </c>
      <c r="N11" s="5">
        <v>19</v>
      </c>
      <c r="O11" s="4">
        <v>800</v>
      </c>
      <c r="P11" s="6">
        <v>11660</v>
      </c>
      <c r="Q11" s="4">
        <v>154</v>
      </c>
      <c r="R11" s="4">
        <v>0</v>
      </c>
      <c r="S11" s="4">
        <v>520</v>
      </c>
    </row>
    <row r="12" spans="1:19" ht="15" thickBot="1" x14ac:dyDescent="0.35">
      <c r="A12" s="3">
        <f t="shared" si="0"/>
        <v>46213</v>
      </c>
      <c r="B12" s="4">
        <v>0</v>
      </c>
      <c r="C12" s="4">
        <v>0</v>
      </c>
      <c r="D12" s="4">
        <v>0</v>
      </c>
      <c r="E12" s="5">
        <v>0</v>
      </c>
      <c r="F12" s="4">
        <v>11</v>
      </c>
      <c r="G12" s="4">
        <v>11</v>
      </c>
      <c r="H12" s="4">
        <v>8</v>
      </c>
      <c r="I12" s="5">
        <v>30</v>
      </c>
      <c r="J12" s="4">
        <v>0</v>
      </c>
      <c r="K12" s="4">
        <v>0</v>
      </c>
      <c r="L12" s="4">
        <v>0</v>
      </c>
      <c r="M12" s="5">
        <v>0</v>
      </c>
      <c r="N12" s="5">
        <v>30</v>
      </c>
      <c r="O12" s="4">
        <v>800</v>
      </c>
      <c r="P12" s="4">
        <v>199</v>
      </c>
      <c r="Q12" s="6">
        <v>1025</v>
      </c>
      <c r="R12" s="6">
        <v>1764</v>
      </c>
      <c r="S12" s="4">
        <v>0</v>
      </c>
    </row>
    <row r="13" spans="1:19" ht="15" thickBot="1" x14ac:dyDescent="0.35">
      <c r="A13" s="3">
        <f t="shared" si="0"/>
        <v>46214</v>
      </c>
      <c r="B13" s="4">
        <v>0</v>
      </c>
      <c r="C13" s="4">
        <v>0</v>
      </c>
      <c r="D13" s="4">
        <v>0</v>
      </c>
      <c r="E13" s="5">
        <v>0</v>
      </c>
      <c r="F13" s="4">
        <v>17</v>
      </c>
      <c r="G13" s="4">
        <v>17</v>
      </c>
      <c r="H13" s="4">
        <v>14</v>
      </c>
      <c r="I13" s="5">
        <v>48</v>
      </c>
      <c r="J13" s="4">
        <v>6</v>
      </c>
      <c r="K13" s="4">
        <v>6</v>
      </c>
      <c r="L13" s="4">
        <v>4</v>
      </c>
      <c r="M13" s="5">
        <v>16</v>
      </c>
      <c r="N13" s="5">
        <v>64</v>
      </c>
      <c r="O13" s="4">
        <v>800</v>
      </c>
      <c r="P13" s="4">
        <v>0</v>
      </c>
      <c r="Q13" s="6">
        <v>4636</v>
      </c>
      <c r="R13" s="6">
        <v>2125</v>
      </c>
      <c r="S13" s="4">
        <v>520</v>
      </c>
    </row>
    <row r="14" spans="1:19" ht="15" thickBot="1" x14ac:dyDescent="0.35">
      <c r="A14" s="3">
        <f t="shared" si="0"/>
        <v>46215</v>
      </c>
      <c r="B14" s="4">
        <v>0</v>
      </c>
      <c r="C14" s="4">
        <v>0</v>
      </c>
      <c r="D14" s="4">
        <v>0</v>
      </c>
      <c r="E14" s="5">
        <v>0</v>
      </c>
      <c r="F14" s="4">
        <v>12</v>
      </c>
      <c r="G14" s="4">
        <v>12</v>
      </c>
      <c r="H14" s="4">
        <v>3</v>
      </c>
      <c r="I14" s="5">
        <v>27</v>
      </c>
      <c r="J14" s="4">
        <v>2</v>
      </c>
      <c r="K14" s="4">
        <v>2</v>
      </c>
      <c r="L14" s="4">
        <v>2</v>
      </c>
      <c r="M14" s="5">
        <v>6</v>
      </c>
      <c r="N14" s="5">
        <v>33</v>
      </c>
      <c r="O14" s="4">
        <v>0</v>
      </c>
      <c r="P14" s="4">
        <v>0</v>
      </c>
      <c r="Q14" s="4">
        <v>330</v>
      </c>
      <c r="R14" s="6">
        <v>2125</v>
      </c>
      <c r="S14" s="6">
        <v>1405</v>
      </c>
    </row>
    <row r="15" spans="1:19" ht="15" thickBot="1" x14ac:dyDescent="0.35">
      <c r="A15" s="3">
        <f t="shared" si="0"/>
        <v>46216</v>
      </c>
      <c r="B15" s="4">
        <v>0</v>
      </c>
      <c r="C15" s="4">
        <v>0</v>
      </c>
      <c r="D15" s="4">
        <v>0</v>
      </c>
      <c r="E15" s="5">
        <v>0</v>
      </c>
      <c r="F15" s="4">
        <v>21</v>
      </c>
      <c r="G15" s="4">
        <v>21</v>
      </c>
      <c r="H15" s="4">
        <v>11</v>
      </c>
      <c r="I15" s="5">
        <v>53</v>
      </c>
      <c r="J15" s="4">
        <v>0</v>
      </c>
      <c r="K15" s="4">
        <v>0</v>
      </c>
      <c r="L15" s="4">
        <v>0</v>
      </c>
      <c r="M15" s="5">
        <v>0</v>
      </c>
      <c r="N15" s="5">
        <v>53</v>
      </c>
      <c r="O15" s="4">
        <v>0</v>
      </c>
      <c r="P15" s="4">
        <v>275</v>
      </c>
      <c r="Q15" s="4">
        <v>922</v>
      </c>
      <c r="R15" s="4">
        <v>0</v>
      </c>
      <c r="S15" s="4">
        <v>520</v>
      </c>
    </row>
    <row r="16" spans="1:19" ht="15" thickBot="1" x14ac:dyDescent="0.35">
      <c r="A16" s="3">
        <f t="shared" si="0"/>
        <v>46217</v>
      </c>
      <c r="B16" s="4">
        <v>0</v>
      </c>
      <c r="C16" s="4">
        <v>0</v>
      </c>
      <c r="D16" s="4">
        <v>0</v>
      </c>
      <c r="E16" s="5">
        <v>0</v>
      </c>
      <c r="F16" s="4">
        <v>20</v>
      </c>
      <c r="G16" s="4">
        <v>20</v>
      </c>
      <c r="H16" s="4">
        <v>10</v>
      </c>
      <c r="I16" s="5">
        <v>50</v>
      </c>
      <c r="J16" s="4">
        <v>0</v>
      </c>
      <c r="K16" s="4">
        <v>0</v>
      </c>
      <c r="L16" s="4">
        <v>0</v>
      </c>
      <c r="M16" s="5">
        <v>0</v>
      </c>
      <c r="N16" s="5">
        <v>50</v>
      </c>
      <c r="O16" s="4">
        <v>800</v>
      </c>
      <c r="P16" s="4">
        <v>255</v>
      </c>
      <c r="Q16" s="4">
        <v>459</v>
      </c>
      <c r="R16" s="6">
        <v>3000</v>
      </c>
      <c r="S16" s="4">
        <v>0</v>
      </c>
    </row>
    <row r="17" spans="1:19" ht="15" thickBot="1" x14ac:dyDescent="0.35">
      <c r="A17" s="3">
        <f t="shared" si="0"/>
        <v>46218</v>
      </c>
      <c r="B17" s="4">
        <v>0</v>
      </c>
      <c r="C17" s="4">
        <v>0</v>
      </c>
      <c r="D17" s="4">
        <v>0</v>
      </c>
      <c r="E17" s="5">
        <v>0</v>
      </c>
      <c r="F17" s="4">
        <v>13</v>
      </c>
      <c r="G17" s="4">
        <v>11</v>
      </c>
      <c r="H17" s="4">
        <v>10</v>
      </c>
      <c r="I17" s="5">
        <v>34</v>
      </c>
      <c r="J17" s="4">
        <v>0</v>
      </c>
      <c r="K17" s="4">
        <v>0</v>
      </c>
      <c r="L17" s="4">
        <v>0</v>
      </c>
      <c r="M17" s="5">
        <v>0</v>
      </c>
      <c r="N17" s="5">
        <v>34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</row>
    <row r="18" spans="1:19" ht="15" thickBot="1" x14ac:dyDescent="0.35">
      <c r="A18" s="3">
        <f t="shared" si="0"/>
        <v>46219</v>
      </c>
      <c r="B18" s="4">
        <v>0</v>
      </c>
      <c r="C18" s="4">
        <v>0</v>
      </c>
      <c r="D18" s="4">
        <v>0</v>
      </c>
      <c r="E18" s="5">
        <v>0</v>
      </c>
      <c r="F18" s="4">
        <v>13</v>
      </c>
      <c r="G18" s="4">
        <v>11</v>
      </c>
      <c r="H18" s="4">
        <v>10</v>
      </c>
      <c r="I18" s="5">
        <v>34</v>
      </c>
      <c r="J18" s="4">
        <v>0</v>
      </c>
      <c r="K18" s="4">
        <v>0</v>
      </c>
      <c r="L18" s="4">
        <v>0</v>
      </c>
      <c r="M18" s="5">
        <v>0</v>
      </c>
      <c r="N18" s="5">
        <v>34</v>
      </c>
      <c r="O18" s="4">
        <v>0</v>
      </c>
      <c r="P18" s="4">
        <v>0</v>
      </c>
      <c r="Q18" s="4">
        <v>877</v>
      </c>
      <c r="R18" s="4">
        <v>0</v>
      </c>
      <c r="S18" s="4">
        <v>365</v>
      </c>
    </row>
    <row r="19" spans="1:19" ht="15" thickBot="1" x14ac:dyDescent="0.35">
      <c r="A19" s="3">
        <f t="shared" si="0"/>
        <v>46220</v>
      </c>
      <c r="B19" s="4">
        <v>0</v>
      </c>
      <c r="C19" s="4">
        <v>0</v>
      </c>
      <c r="D19" s="4">
        <v>0</v>
      </c>
      <c r="E19" s="5">
        <v>0</v>
      </c>
      <c r="F19" s="4">
        <v>21</v>
      </c>
      <c r="G19" s="4">
        <v>16</v>
      </c>
      <c r="H19" s="4">
        <v>14</v>
      </c>
      <c r="I19" s="5">
        <v>51</v>
      </c>
      <c r="J19" s="4">
        <v>0</v>
      </c>
      <c r="K19" s="4">
        <v>0</v>
      </c>
      <c r="L19" s="4">
        <v>0</v>
      </c>
      <c r="M19" s="5">
        <v>0</v>
      </c>
      <c r="N19" s="5">
        <v>51</v>
      </c>
      <c r="O19" s="4">
        <v>800</v>
      </c>
      <c r="P19" s="4">
        <v>0</v>
      </c>
      <c r="Q19" s="6">
        <v>3868</v>
      </c>
      <c r="R19" s="6">
        <v>1800</v>
      </c>
      <c r="S19" s="4">
        <v>0</v>
      </c>
    </row>
    <row r="20" spans="1:19" ht="15" thickBot="1" x14ac:dyDescent="0.35">
      <c r="A20" s="3">
        <f t="shared" si="0"/>
        <v>46221</v>
      </c>
      <c r="B20" s="4">
        <v>0</v>
      </c>
      <c r="C20" s="4">
        <v>0</v>
      </c>
      <c r="D20" s="4">
        <v>0</v>
      </c>
      <c r="E20" s="5">
        <v>0</v>
      </c>
      <c r="F20" s="4">
        <v>28</v>
      </c>
      <c r="G20" s="4">
        <v>27</v>
      </c>
      <c r="H20" s="4">
        <v>24</v>
      </c>
      <c r="I20" s="5">
        <v>79</v>
      </c>
      <c r="J20" s="4">
        <v>4</v>
      </c>
      <c r="K20" s="4">
        <v>4</v>
      </c>
      <c r="L20" s="4">
        <v>2</v>
      </c>
      <c r="M20" s="5">
        <v>10</v>
      </c>
      <c r="N20" s="5">
        <v>89</v>
      </c>
      <c r="O20" s="4">
        <v>0</v>
      </c>
      <c r="P20" s="4">
        <v>0</v>
      </c>
      <c r="Q20" s="4">
        <v>0</v>
      </c>
      <c r="R20" s="6">
        <v>1700</v>
      </c>
      <c r="S20" s="4">
        <v>0</v>
      </c>
    </row>
    <row r="21" spans="1:19" ht="15" thickBot="1" x14ac:dyDescent="0.35">
      <c r="A21" s="3">
        <f t="shared" si="0"/>
        <v>46222</v>
      </c>
      <c r="B21" s="4">
        <v>0</v>
      </c>
      <c r="C21" s="4">
        <v>0</v>
      </c>
      <c r="D21" s="4">
        <v>0</v>
      </c>
      <c r="E21" s="5">
        <v>0</v>
      </c>
      <c r="F21" s="4">
        <v>26</v>
      </c>
      <c r="G21" s="4">
        <v>21</v>
      </c>
      <c r="H21" s="4">
        <v>12</v>
      </c>
      <c r="I21" s="5">
        <v>59</v>
      </c>
      <c r="J21" s="4">
        <v>7</v>
      </c>
      <c r="K21" s="4">
        <v>7</v>
      </c>
      <c r="L21" s="4">
        <v>1</v>
      </c>
      <c r="M21" s="5">
        <v>15</v>
      </c>
      <c r="N21" s="5">
        <v>74</v>
      </c>
      <c r="O21" s="4">
        <v>0</v>
      </c>
      <c r="P21" s="4">
        <v>379</v>
      </c>
      <c r="Q21" s="4">
        <v>160</v>
      </c>
      <c r="R21" s="4">
        <v>0</v>
      </c>
      <c r="S21" s="4">
        <v>0</v>
      </c>
    </row>
    <row r="22" spans="1:19" ht="15" thickBot="1" x14ac:dyDescent="0.35">
      <c r="A22" s="3">
        <f t="shared" si="0"/>
        <v>46223</v>
      </c>
      <c r="B22" s="4">
        <v>8</v>
      </c>
      <c r="C22" s="4">
        <v>9</v>
      </c>
      <c r="D22" s="4">
        <v>8</v>
      </c>
      <c r="E22" s="5">
        <v>25</v>
      </c>
      <c r="F22" s="4">
        <v>27</v>
      </c>
      <c r="G22" s="4">
        <v>26</v>
      </c>
      <c r="H22" s="4">
        <v>20</v>
      </c>
      <c r="I22" s="5">
        <v>73</v>
      </c>
      <c r="J22" s="4">
        <v>0</v>
      </c>
      <c r="K22" s="4">
        <v>0</v>
      </c>
      <c r="L22" s="4">
        <v>0</v>
      </c>
      <c r="M22" s="5">
        <v>0</v>
      </c>
      <c r="N22" s="5">
        <v>98</v>
      </c>
      <c r="O22" s="6">
        <v>1600</v>
      </c>
      <c r="P22" s="6">
        <v>51075</v>
      </c>
      <c r="Q22" s="6">
        <v>6132</v>
      </c>
      <c r="R22" s="6">
        <v>2125</v>
      </c>
      <c r="S22" s="4">
        <v>0</v>
      </c>
    </row>
    <row r="23" spans="1:19" ht="15" thickBot="1" x14ac:dyDescent="0.35">
      <c r="A23" s="3">
        <f t="shared" si="0"/>
        <v>46224</v>
      </c>
      <c r="B23" s="4">
        <v>14</v>
      </c>
      <c r="C23" s="4">
        <v>14</v>
      </c>
      <c r="D23" s="4">
        <v>10</v>
      </c>
      <c r="E23" s="5">
        <v>38</v>
      </c>
      <c r="F23" s="4">
        <v>32</v>
      </c>
      <c r="G23" s="4">
        <v>32</v>
      </c>
      <c r="H23" s="4">
        <v>19</v>
      </c>
      <c r="I23" s="5">
        <v>83</v>
      </c>
      <c r="J23" s="4">
        <v>0</v>
      </c>
      <c r="K23" s="4">
        <v>0</v>
      </c>
      <c r="L23" s="4">
        <v>0</v>
      </c>
      <c r="M23" s="5">
        <v>0</v>
      </c>
      <c r="N23" s="5">
        <v>121</v>
      </c>
      <c r="O23" s="4">
        <v>0</v>
      </c>
      <c r="P23" s="4">
        <v>0</v>
      </c>
      <c r="Q23" s="4">
        <v>240</v>
      </c>
      <c r="R23" s="6">
        <v>3600</v>
      </c>
      <c r="S23" s="4">
        <v>520</v>
      </c>
    </row>
    <row r="24" spans="1:19" ht="15" thickBot="1" x14ac:dyDescent="0.35">
      <c r="A24" s="3">
        <f t="shared" si="0"/>
        <v>46225</v>
      </c>
      <c r="B24" s="4">
        <v>14</v>
      </c>
      <c r="C24" s="4">
        <v>14</v>
      </c>
      <c r="D24" s="4">
        <v>14</v>
      </c>
      <c r="E24" s="5">
        <v>42</v>
      </c>
      <c r="F24" s="4">
        <v>0</v>
      </c>
      <c r="G24" s="4">
        <v>0</v>
      </c>
      <c r="H24" s="4">
        <v>0</v>
      </c>
      <c r="I24" s="5">
        <v>0</v>
      </c>
      <c r="J24" s="4">
        <v>0</v>
      </c>
      <c r="K24" s="4">
        <v>0</v>
      </c>
      <c r="L24" s="4">
        <v>0</v>
      </c>
      <c r="M24" s="5">
        <v>0</v>
      </c>
      <c r="N24" s="5">
        <v>42</v>
      </c>
      <c r="O24" s="4">
        <v>0</v>
      </c>
      <c r="P24" s="4">
        <v>0</v>
      </c>
      <c r="Q24" s="4">
        <v>0</v>
      </c>
      <c r="R24" s="4">
        <v>900</v>
      </c>
      <c r="S24" s="4">
        <v>0</v>
      </c>
    </row>
    <row r="25" spans="1:19" ht="15" thickBot="1" x14ac:dyDescent="0.35">
      <c r="A25" s="3">
        <f t="shared" si="0"/>
        <v>46226</v>
      </c>
      <c r="B25" s="4">
        <v>13</v>
      </c>
      <c r="C25" s="4">
        <v>13</v>
      </c>
      <c r="D25" s="4">
        <v>12</v>
      </c>
      <c r="E25" s="5">
        <v>38</v>
      </c>
      <c r="F25" s="4">
        <v>23</v>
      </c>
      <c r="G25" s="4">
        <v>19</v>
      </c>
      <c r="H25" s="4">
        <v>16</v>
      </c>
      <c r="I25" s="5">
        <v>58</v>
      </c>
      <c r="J25" s="4">
        <v>0</v>
      </c>
      <c r="K25" s="4">
        <v>0</v>
      </c>
      <c r="L25" s="4">
        <v>0</v>
      </c>
      <c r="M25" s="5">
        <v>0</v>
      </c>
      <c r="N25" s="5">
        <v>96</v>
      </c>
      <c r="O25" s="4">
        <v>800</v>
      </c>
      <c r="P25" s="4">
        <v>300</v>
      </c>
      <c r="Q25" s="4">
        <v>102</v>
      </c>
      <c r="R25" s="6">
        <v>2550</v>
      </c>
      <c r="S25" s="4">
        <v>780</v>
      </c>
    </row>
    <row r="26" spans="1:19" ht="15" thickBot="1" x14ac:dyDescent="0.35">
      <c r="A26" s="3">
        <f t="shared" si="0"/>
        <v>46227</v>
      </c>
      <c r="B26" s="4">
        <v>13</v>
      </c>
      <c r="C26" s="4">
        <v>13</v>
      </c>
      <c r="D26" s="4">
        <v>13</v>
      </c>
      <c r="E26" s="5">
        <v>39</v>
      </c>
      <c r="F26" s="4">
        <v>36</v>
      </c>
      <c r="G26" s="4">
        <v>36</v>
      </c>
      <c r="H26" s="4">
        <v>10</v>
      </c>
      <c r="I26" s="5">
        <v>82</v>
      </c>
      <c r="J26" s="4">
        <v>0</v>
      </c>
      <c r="K26" s="4">
        <v>0</v>
      </c>
      <c r="L26" s="4">
        <v>0</v>
      </c>
      <c r="M26" s="5">
        <v>0</v>
      </c>
      <c r="N26" s="5">
        <v>121</v>
      </c>
      <c r="O26" s="6">
        <v>3013</v>
      </c>
      <c r="P26" s="4">
        <v>300</v>
      </c>
      <c r="Q26" s="6">
        <v>2275</v>
      </c>
      <c r="R26" s="6">
        <v>3000</v>
      </c>
      <c r="S26" s="4">
        <v>0</v>
      </c>
    </row>
    <row r="27" spans="1:19" ht="15" thickBot="1" x14ac:dyDescent="0.35">
      <c r="A27" s="3">
        <f t="shared" si="0"/>
        <v>46228</v>
      </c>
      <c r="B27" s="4">
        <v>21</v>
      </c>
      <c r="C27" s="4">
        <v>14</v>
      </c>
      <c r="D27" s="4">
        <v>14</v>
      </c>
      <c r="E27" s="5">
        <v>49</v>
      </c>
      <c r="F27" s="4">
        <v>34</v>
      </c>
      <c r="G27" s="4">
        <v>34</v>
      </c>
      <c r="H27" s="4">
        <v>20</v>
      </c>
      <c r="I27" s="5">
        <v>88</v>
      </c>
      <c r="J27" s="4">
        <v>0</v>
      </c>
      <c r="K27" s="4">
        <v>0</v>
      </c>
      <c r="L27" s="4">
        <v>0</v>
      </c>
      <c r="M27" s="5">
        <v>0</v>
      </c>
      <c r="N27" s="5">
        <v>137</v>
      </c>
      <c r="O27" s="4">
        <v>0</v>
      </c>
      <c r="P27" s="4">
        <v>0</v>
      </c>
      <c r="Q27" s="6">
        <v>1604</v>
      </c>
      <c r="R27" s="6">
        <v>2550</v>
      </c>
      <c r="S27" s="4">
        <v>0</v>
      </c>
    </row>
    <row r="28" spans="1:19" ht="15" thickBot="1" x14ac:dyDescent="0.35">
      <c r="A28" s="3">
        <f t="shared" si="0"/>
        <v>46229</v>
      </c>
      <c r="B28" s="4">
        <v>17</v>
      </c>
      <c r="C28" s="4">
        <v>17</v>
      </c>
      <c r="D28" s="4">
        <v>17</v>
      </c>
      <c r="E28" s="5">
        <v>51</v>
      </c>
      <c r="F28" s="4">
        <v>30</v>
      </c>
      <c r="G28" s="4">
        <v>30</v>
      </c>
      <c r="H28" s="4">
        <v>30</v>
      </c>
      <c r="I28" s="5">
        <v>90</v>
      </c>
      <c r="J28" s="4">
        <v>0</v>
      </c>
      <c r="K28" s="4">
        <v>0</v>
      </c>
      <c r="L28" s="4">
        <v>0</v>
      </c>
      <c r="M28" s="5">
        <v>0</v>
      </c>
      <c r="N28" s="5">
        <v>141</v>
      </c>
      <c r="O28" s="4">
        <v>910</v>
      </c>
      <c r="P28" s="4">
        <v>0</v>
      </c>
      <c r="Q28" s="6">
        <v>1137</v>
      </c>
      <c r="R28" s="4">
        <v>0</v>
      </c>
      <c r="S28" s="4">
        <v>840</v>
      </c>
    </row>
    <row r="29" spans="1:19" ht="15" thickBot="1" x14ac:dyDescent="0.35">
      <c r="A29" s="3">
        <f t="shared" si="0"/>
        <v>46230</v>
      </c>
      <c r="B29" s="4">
        <v>21</v>
      </c>
      <c r="C29" s="4">
        <v>0</v>
      </c>
      <c r="D29" s="4">
        <v>0</v>
      </c>
      <c r="E29" s="5">
        <v>21</v>
      </c>
      <c r="F29" s="4">
        <v>30</v>
      </c>
      <c r="G29" s="4">
        <v>27</v>
      </c>
      <c r="H29" s="4">
        <v>11</v>
      </c>
      <c r="I29" s="5">
        <v>68</v>
      </c>
      <c r="J29" s="4">
        <v>0</v>
      </c>
      <c r="K29" s="4">
        <v>0</v>
      </c>
      <c r="L29" s="4">
        <v>0</v>
      </c>
      <c r="M29" s="5">
        <v>0</v>
      </c>
      <c r="N29" s="5">
        <v>89</v>
      </c>
      <c r="O29" s="6">
        <v>1600</v>
      </c>
      <c r="P29" s="6">
        <v>2930</v>
      </c>
      <c r="Q29" s="6">
        <v>7081</v>
      </c>
      <c r="R29" s="4">
        <v>0</v>
      </c>
      <c r="S29" s="6">
        <v>1040</v>
      </c>
    </row>
    <row r="30" spans="1:19" ht="15" thickBot="1" x14ac:dyDescent="0.35">
      <c r="A30" s="3">
        <f t="shared" si="0"/>
        <v>46231</v>
      </c>
      <c r="B30" s="4">
        <v>13</v>
      </c>
      <c r="C30" s="4">
        <v>10</v>
      </c>
      <c r="D30" s="4">
        <v>10</v>
      </c>
      <c r="E30" s="5">
        <v>33</v>
      </c>
      <c r="F30" s="4">
        <v>33</v>
      </c>
      <c r="G30" s="4">
        <v>30</v>
      </c>
      <c r="H30" s="4">
        <v>20</v>
      </c>
      <c r="I30" s="5">
        <v>83</v>
      </c>
      <c r="J30" s="4">
        <v>0</v>
      </c>
      <c r="K30" s="4">
        <v>0</v>
      </c>
      <c r="L30" s="4">
        <v>0</v>
      </c>
      <c r="M30" s="5">
        <v>0</v>
      </c>
      <c r="N30" s="5">
        <v>116</v>
      </c>
      <c r="O30" s="4">
        <v>0</v>
      </c>
      <c r="P30" s="4">
        <v>300</v>
      </c>
      <c r="Q30" s="4">
        <v>0</v>
      </c>
      <c r="R30" s="6">
        <v>4030</v>
      </c>
      <c r="S30" s="4">
        <v>0</v>
      </c>
    </row>
    <row r="31" spans="1:19" ht="15" thickBot="1" x14ac:dyDescent="0.35">
      <c r="A31" s="3">
        <f t="shared" si="0"/>
        <v>46232</v>
      </c>
      <c r="B31" s="4">
        <v>19</v>
      </c>
      <c r="C31" s="4">
        <v>19</v>
      </c>
      <c r="D31" s="4">
        <v>19</v>
      </c>
      <c r="E31" s="5">
        <v>57</v>
      </c>
      <c r="F31" s="4">
        <v>0</v>
      </c>
      <c r="G31" s="4">
        <v>0</v>
      </c>
      <c r="H31" s="4">
        <v>0</v>
      </c>
      <c r="I31" s="5">
        <v>0</v>
      </c>
      <c r="J31" s="4">
        <v>0</v>
      </c>
      <c r="K31" s="4">
        <v>0</v>
      </c>
      <c r="L31" s="4">
        <v>0</v>
      </c>
      <c r="M31" s="5">
        <v>0</v>
      </c>
      <c r="N31" s="5">
        <v>57</v>
      </c>
      <c r="O31" s="6">
        <v>1600</v>
      </c>
      <c r="P31" s="4">
        <v>300</v>
      </c>
      <c r="Q31" s="4">
        <v>0</v>
      </c>
      <c r="R31" s="6">
        <v>1240</v>
      </c>
      <c r="S31" s="4">
        <v>0</v>
      </c>
    </row>
    <row r="32" spans="1:19" ht="15" thickBot="1" x14ac:dyDescent="0.35">
      <c r="A32" s="3">
        <f t="shared" si="0"/>
        <v>46233</v>
      </c>
      <c r="B32" s="4">
        <v>19</v>
      </c>
      <c r="C32" s="4">
        <v>0</v>
      </c>
      <c r="D32" s="4">
        <v>0</v>
      </c>
      <c r="E32" s="5">
        <v>19</v>
      </c>
      <c r="F32" s="4">
        <v>19</v>
      </c>
      <c r="G32" s="4">
        <v>19</v>
      </c>
      <c r="H32" s="4">
        <v>12</v>
      </c>
      <c r="I32" s="5">
        <v>50</v>
      </c>
      <c r="J32" s="4">
        <v>0</v>
      </c>
      <c r="K32" s="4">
        <v>0</v>
      </c>
      <c r="L32" s="4">
        <v>0</v>
      </c>
      <c r="M32" s="5">
        <v>0</v>
      </c>
      <c r="N32" s="5">
        <v>69</v>
      </c>
      <c r="O32" s="4">
        <v>0</v>
      </c>
      <c r="P32" s="4">
        <v>260</v>
      </c>
      <c r="Q32" s="4">
        <v>307</v>
      </c>
      <c r="R32" s="6">
        <v>2550</v>
      </c>
      <c r="S32" s="6">
        <v>1300</v>
      </c>
    </row>
    <row r="33" spans="1:19" ht="15" thickBot="1" x14ac:dyDescent="0.35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ht="15" thickBot="1" x14ac:dyDescent="0.35">
      <c r="A34" s="9"/>
      <c r="B34" s="10"/>
      <c r="C34" s="10"/>
      <c r="D34" s="8"/>
      <c r="E34" s="5">
        <v>602</v>
      </c>
      <c r="F34" s="20"/>
      <c r="G34" s="21"/>
      <c r="H34" s="22"/>
      <c r="I34" s="5">
        <v>1503</v>
      </c>
      <c r="J34" s="20"/>
      <c r="K34" s="21"/>
      <c r="L34" s="22"/>
      <c r="M34" s="5">
        <v>238</v>
      </c>
      <c r="N34" s="5">
        <v>2343</v>
      </c>
      <c r="O34" s="11">
        <v>22631</v>
      </c>
      <c r="P34" s="11">
        <v>143456</v>
      </c>
      <c r="Q34" s="11">
        <v>36828</v>
      </c>
      <c r="R34" s="11">
        <v>40643</v>
      </c>
      <c r="S34" s="11">
        <v>7810</v>
      </c>
    </row>
    <row r="35" spans="1:19" ht="15" thickBot="1" x14ac:dyDescent="0.35">
      <c r="A35" s="12"/>
      <c r="B35" s="12"/>
      <c r="C35" s="13"/>
      <c r="D35" s="13"/>
      <c r="E35" s="13"/>
      <c r="F35" s="12"/>
      <c r="G35" s="13"/>
      <c r="H35" s="13"/>
      <c r="I35" s="13"/>
      <c r="J35" s="12"/>
      <c r="K35" s="13"/>
      <c r="L35" s="13"/>
      <c r="M35" s="13"/>
      <c r="N35" s="12"/>
      <c r="O35" s="12"/>
      <c r="P35" s="12"/>
      <c r="Q35" s="12"/>
      <c r="R35" s="12"/>
      <c r="S35" s="12"/>
    </row>
    <row r="36" spans="1:19" ht="15" thickBot="1" x14ac:dyDescent="0.35">
      <c r="A36" s="12"/>
      <c r="B36" s="14"/>
      <c r="C36" s="17" t="s">
        <v>14</v>
      </c>
      <c r="D36" s="18"/>
      <c r="E36" s="19"/>
      <c r="F36" s="14"/>
      <c r="G36" s="17" t="s">
        <v>15</v>
      </c>
      <c r="H36" s="18"/>
      <c r="I36" s="19"/>
      <c r="J36" s="14"/>
      <c r="K36" s="17" t="s">
        <v>16</v>
      </c>
      <c r="L36" s="18"/>
      <c r="M36" s="19"/>
      <c r="N36" s="12"/>
      <c r="O36" s="12"/>
      <c r="P36" s="12"/>
      <c r="Q36" s="12"/>
      <c r="R36" s="12"/>
      <c r="S36" s="12"/>
    </row>
    <row r="37" spans="1:19" ht="15" thickBot="1" x14ac:dyDescent="0.35">
      <c r="A37" s="12"/>
      <c r="B37" s="14"/>
      <c r="C37" s="25">
        <v>322039</v>
      </c>
      <c r="D37" s="26"/>
      <c r="E37" s="27"/>
      <c r="F37" s="14"/>
      <c r="G37" s="28">
        <v>2343</v>
      </c>
      <c r="H37" s="29"/>
      <c r="I37" s="30"/>
      <c r="J37" s="14"/>
      <c r="K37" s="28">
        <v>137.44999999999999</v>
      </c>
      <c r="L37" s="29"/>
      <c r="M37" s="30"/>
      <c r="N37" s="12"/>
      <c r="O37" s="12"/>
      <c r="P37" s="12"/>
      <c r="Q37" s="12"/>
      <c r="R37" s="12"/>
      <c r="S37" s="12"/>
    </row>
  </sheetData>
  <mergeCells count="18">
    <mergeCell ref="C36:E36"/>
    <mergeCell ref="G36:I36"/>
    <mergeCell ref="K36:M36"/>
    <mergeCell ref="C37:E37"/>
    <mergeCell ref="G37:I37"/>
    <mergeCell ref="K37:M37"/>
    <mergeCell ref="P1:P2"/>
    <mergeCell ref="Q1:Q2"/>
    <mergeCell ref="R1:R2"/>
    <mergeCell ref="S1:S2"/>
    <mergeCell ref="F34:H34"/>
    <mergeCell ref="J34:L34"/>
    <mergeCell ref="O1:O2"/>
    <mergeCell ref="A1:A2"/>
    <mergeCell ref="B1:E1"/>
    <mergeCell ref="F1:I1"/>
    <mergeCell ref="J1:M1"/>
    <mergeCell ref="N1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F550-92F9-457E-8F24-4CB30B64F0F2}">
  <dimension ref="A1:S32"/>
  <sheetViews>
    <sheetView workbookViewId="0">
      <selection activeCell="B3" sqref="B3"/>
    </sheetView>
  </sheetViews>
  <sheetFormatPr defaultRowHeight="14.4" x14ac:dyDescent="0.3"/>
  <cols>
    <col min="1" max="1" width="11.33203125" customWidth="1"/>
  </cols>
  <sheetData>
    <row r="1" spans="1:19" ht="15" thickBot="1" x14ac:dyDescent="0.35">
      <c r="A1" s="15" t="s">
        <v>0</v>
      </c>
      <c r="B1" s="17" t="s">
        <v>1</v>
      </c>
      <c r="C1" s="18"/>
      <c r="D1" s="18"/>
      <c r="E1" s="19"/>
      <c r="F1" s="17" t="s">
        <v>2</v>
      </c>
      <c r="G1" s="18"/>
      <c r="H1" s="18"/>
      <c r="I1" s="19"/>
      <c r="J1" s="17" t="s">
        <v>3</v>
      </c>
      <c r="K1" s="18"/>
      <c r="L1" s="18"/>
      <c r="M1" s="19"/>
      <c r="N1" s="15" t="s">
        <v>4</v>
      </c>
      <c r="O1" s="23" t="s">
        <v>5</v>
      </c>
      <c r="P1" s="15" t="s">
        <v>6</v>
      </c>
      <c r="Q1" s="15" t="s">
        <v>7</v>
      </c>
      <c r="R1" s="15" t="s">
        <v>8</v>
      </c>
      <c r="S1" s="15" t="s">
        <v>9</v>
      </c>
    </row>
    <row r="2" spans="1:19" ht="36.6" customHeight="1" x14ac:dyDescent="0.3">
      <c r="A2" s="35"/>
      <c r="B2" s="36" t="s">
        <v>10</v>
      </c>
      <c r="C2" s="37" t="s">
        <v>11</v>
      </c>
      <c r="D2" s="37" t="s">
        <v>12</v>
      </c>
      <c r="E2" s="36" t="s">
        <v>13</v>
      </c>
      <c r="F2" s="36" t="s">
        <v>10</v>
      </c>
      <c r="G2" s="37" t="s">
        <v>11</v>
      </c>
      <c r="H2" s="37" t="s">
        <v>12</v>
      </c>
      <c r="I2" s="36" t="s">
        <v>13</v>
      </c>
      <c r="J2" s="36" t="s">
        <v>10</v>
      </c>
      <c r="K2" s="37" t="s">
        <v>11</v>
      </c>
      <c r="L2" s="37" t="s">
        <v>12</v>
      </c>
      <c r="M2" s="36" t="s">
        <v>13</v>
      </c>
      <c r="N2" s="35"/>
      <c r="O2" s="38"/>
      <c r="P2" s="35"/>
      <c r="Q2" s="35"/>
      <c r="R2" s="35"/>
      <c r="S2" s="35"/>
    </row>
    <row r="3" spans="1:19" x14ac:dyDescent="0.3">
      <c r="A3" s="39">
        <f>DATE(2026,8,1)</f>
        <v>46235</v>
      </c>
      <c r="B3" s="31"/>
      <c r="C3" s="31"/>
      <c r="D3" s="31"/>
      <c r="E3" s="32"/>
      <c r="F3" s="31"/>
      <c r="G3" s="31"/>
      <c r="H3" s="31"/>
      <c r="I3" s="32"/>
      <c r="J3" s="31"/>
      <c r="K3" s="31"/>
      <c r="L3" s="31"/>
      <c r="M3" s="32"/>
      <c r="N3" s="32"/>
      <c r="O3" s="33"/>
      <c r="P3" s="31"/>
      <c r="Q3" s="31"/>
      <c r="R3" s="33"/>
      <c r="S3" s="31"/>
    </row>
    <row r="4" spans="1:19" x14ac:dyDescent="0.3">
      <c r="A4" s="39">
        <f>(A3+1)</f>
        <v>46236</v>
      </c>
      <c r="B4" s="31"/>
      <c r="C4" s="31"/>
      <c r="D4" s="31"/>
      <c r="E4" s="32"/>
      <c r="F4" s="31"/>
      <c r="G4" s="31"/>
      <c r="H4" s="31"/>
      <c r="I4" s="32"/>
      <c r="J4" s="31"/>
      <c r="K4" s="31"/>
      <c r="L4" s="31"/>
      <c r="M4" s="32"/>
      <c r="N4" s="32"/>
      <c r="O4" s="33"/>
      <c r="P4" s="33"/>
      <c r="Q4" s="31"/>
      <c r="R4" s="31"/>
      <c r="S4" s="31"/>
    </row>
    <row r="5" spans="1:19" x14ac:dyDescent="0.3">
      <c r="A5" s="39">
        <f t="shared" ref="A5:A32" si="0">(A4+1)</f>
        <v>46237</v>
      </c>
      <c r="B5" s="31"/>
      <c r="C5" s="31"/>
      <c r="D5" s="31"/>
      <c r="E5" s="32"/>
      <c r="F5" s="31"/>
      <c r="G5" s="31"/>
      <c r="H5" s="31"/>
      <c r="I5" s="32"/>
      <c r="J5" s="31"/>
      <c r="K5" s="31"/>
      <c r="L5" s="31"/>
      <c r="M5" s="32"/>
      <c r="N5" s="32"/>
      <c r="O5" s="33"/>
      <c r="P5" s="31"/>
      <c r="Q5" s="33"/>
      <c r="R5" s="31"/>
      <c r="S5" s="31"/>
    </row>
    <row r="6" spans="1:19" x14ac:dyDescent="0.3">
      <c r="A6" s="39">
        <f t="shared" si="0"/>
        <v>46238</v>
      </c>
      <c r="B6" s="31"/>
      <c r="C6" s="31"/>
      <c r="D6" s="31"/>
      <c r="E6" s="32"/>
      <c r="F6" s="31"/>
      <c r="G6" s="31"/>
      <c r="H6" s="31"/>
      <c r="I6" s="32"/>
      <c r="J6" s="31"/>
      <c r="K6" s="31"/>
      <c r="L6" s="31"/>
      <c r="M6" s="32"/>
      <c r="N6" s="32"/>
      <c r="O6" s="31"/>
      <c r="P6" s="33"/>
      <c r="Q6" s="31"/>
      <c r="R6" s="31"/>
      <c r="S6" s="31"/>
    </row>
    <row r="7" spans="1:19" x14ac:dyDescent="0.3">
      <c r="A7" s="39">
        <f t="shared" si="0"/>
        <v>46239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</row>
    <row r="8" spans="1:19" x14ac:dyDescent="0.3">
      <c r="A8" s="39">
        <f t="shared" si="0"/>
        <v>46240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</row>
    <row r="9" spans="1:19" x14ac:dyDescent="0.3">
      <c r="A9" s="39">
        <f t="shared" si="0"/>
        <v>46241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</row>
    <row r="10" spans="1:19" x14ac:dyDescent="0.3">
      <c r="A10" s="39">
        <f t="shared" si="0"/>
        <v>46242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</row>
    <row r="11" spans="1:19" x14ac:dyDescent="0.3">
      <c r="A11" s="39">
        <f t="shared" si="0"/>
        <v>46243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</row>
    <row r="12" spans="1:19" x14ac:dyDescent="0.3">
      <c r="A12" s="39">
        <f t="shared" si="0"/>
        <v>46244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</row>
    <row r="13" spans="1:19" x14ac:dyDescent="0.3">
      <c r="A13" s="39">
        <f t="shared" si="0"/>
        <v>46245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</row>
    <row r="14" spans="1:19" x14ac:dyDescent="0.3">
      <c r="A14" s="39">
        <f t="shared" si="0"/>
        <v>46246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</row>
    <row r="15" spans="1:19" x14ac:dyDescent="0.3">
      <c r="A15" s="39">
        <f t="shared" si="0"/>
        <v>46247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</row>
    <row r="16" spans="1:19" x14ac:dyDescent="0.3">
      <c r="A16" s="39">
        <f t="shared" si="0"/>
        <v>46248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</row>
    <row r="17" spans="1:19" x14ac:dyDescent="0.3">
      <c r="A17" s="39">
        <f t="shared" si="0"/>
        <v>46249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</row>
    <row r="18" spans="1:19" x14ac:dyDescent="0.3">
      <c r="A18" s="39">
        <f t="shared" si="0"/>
        <v>46250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</row>
    <row r="19" spans="1:19" x14ac:dyDescent="0.3">
      <c r="A19" s="39">
        <f t="shared" si="0"/>
        <v>46251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</row>
    <row r="20" spans="1:19" x14ac:dyDescent="0.3">
      <c r="A20" s="39">
        <f t="shared" si="0"/>
        <v>46252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</row>
    <row r="21" spans="1:19" x14ac:dyDescent="0.3">
      <c r="A21" s="39">
        <f t="shared" si="0"/>
        <v>46253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</row>
    <row r="22" spans="1:19" x14ac:dyDescent="0.3">
      <c r="A22" s="39">
        <f t="shared" si="0"/>
        <v>46254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</row>
    <row r="23" spans="1:19" x14ac:dyDescent="0.3">
      <c r="A23" s="39">
        <f t="shared" si="0"/>
        <v>46255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</row>
    <row r="24" spans="1:19" x14ac:dyDescent="0.3">
      <c r="A24" s="39">
        <f t="shared" si="0"/>
        <v>46256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</row>
    <row r="25" spans="1:19" x14ac:dyDescent="0.3">
      <c r="A25" s="39">
        <f t="shared" si="0"/>
        <v>46257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</row>
    <row r="26" spans="1:19" x14ac:dyDescent="0.3">
      <c r="A26" s="39">
        <f t="shared" si="0"/>
        <v>46258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</row>
    <row r="27" spans="1:19" x14ac:dyDescent="0.3">
      <c r="A27" s="39">
        <f t="shared" si="0"/>
        <v>46259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</row>
    <row r="28" spans="1:19" x14ac:dyDescent="0.3">
      <c r="A28" s="39">
        <f t="shared" si="0"/>
        <v>46260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</row>
    <row r="29" spans="1:19" x14ac:dyDescent="0.3">
      <c r="A29" s="39">
        <f t="shared" si="0"/>
        <v>46261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</row>
    <row r="30" spans="1:19" x14ac:dyDescent="0.3">
      <c r="A30" s="39">
        <f t="shared" si="0"/>
        <v>46262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</row>
    <row r="31" spans="1:19" x14ac:dyDescent="0.3">
      <c r="A31" s="39">
        <f t="shared" si="0"/>
        <v>46263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</row>
    <row r="32" spans="1:19" x14ac:dyDescent="0.3">
      <c r="A32" s="39">
        <f t="shared" si="0"/>
        <v>46264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</row>
  </sheetData>
  <mergeCells count="10">
    <mergeCell ref="P1:P2"/>
    <mergeCell ref="Q1:Q2"/>
    <mergeCell ref="R1:R2"/>
    <mergeCell ref="S1:S2"/>
    <mergeCell ref="A1:A2"/>
    <mergeCell ref="B1:E1"/>
    <mergeCell ref="F1:I1"/>
    <mergeCell ref="J1:M1"/>
    <mergeCell ref="N1:N2"/>
    <mergeCell ref="O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 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YCH YCH</dc:creator>
  <cp:lastModifiedBy>YCH YCH</cp:lastModifiedBy>
  <dcterms:created xsi:type="dcterms:W3CDTF">2026-07-19T11:33:41Z</dcterms:created>
  <dcterms:modified xsi:type="dcterms:W3CDTF">2026-08-08T11:06:01Z</dcterms:modified>
</cp:coreProperties>
</file>